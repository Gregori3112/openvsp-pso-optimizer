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SP\Development\PSO_PYTHON_WING\Testes_por_variável\"/>
    </mc:Choice>
  </mc:AlternateContent>
  <xr:revisionPtr revIDLastSave="0" documentId="13_ncr:1_{AFB46EB7-5360-41B0-B369-05D4D7FB32E6}" xr6:coauthVersionLast="47" xr6:coauthVersionMax="47" xr10:uidLastSave="{00000000-0000-0000-0000-000000000000}"/>
  <bookViews>
    <workbookView xWindow="28680" yWindow="-105" windowWidth="29040" windowHeight="15720" xr2:uid="{150A171C-770E-4DC8-81EB-33E0B26E9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<sst xmlns="http://schemas.openxmlformats.org/spreadsheetml/2006/main" count="38" uniqueCount="18">
  <si>
    <t>L/D</t>
  </si>
  <si>
    <t>CLtot</t>
  </si>
  <si>
    <t>CDtot</t>
  </si>
  <si>
    <t>Alpha (º)</t>
  </si>
  <si>
    <t>Asa Base</t>
  </si>
  <si>
    <t>Asa AR variável</t>
  </si>
  <si>
    <t>AR</t>
  </si>
  <si>
    <t>Span</t>
  </si>
  <si>
    <t>Asa Span variável</t>
  </si>
  <si>
    <t>Asa Taper variável</t>
  </si>
  <si>
    <t>Taper</t>
  </si>
  <si>
    <t>Asa Sweep variável</t>
  </si>
  <si>
    <t>Sweep</t>
  </si>
  <si>
    <t>Asa Twist variável</t>
  </si>
  <si>
    <t>Twist</t>
  </si>
  <si>
    <t>Mantendo área fixa para não alterar L</t>
  </si>
  <si>
    <t>CLtol +- 5%</t>
  </si>
  <si>
    <t>Gudmundsson 15.4.1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</si>
</sst>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Sensibilidade de Alpha para cada variável mantendo CL</a:t>
            </a:r>
            <a:r>
              <a:rPr lang="en-US" baseline="0"/>
              <a:t> dentro da tolerância.</a:t>
            </a:r>
            <a:endParaRPr lang="en-US"/>
          </a:p>
        </c:rich>
      </c:tx>
      <c:layout>
        <c:manualLayout>
          <c:xMode val="edge"/>
          <c:yMode val="edge"/>
          <c:x val="0.12570054069612058"/>
          <c:y val="3.6380164121328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Alpha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Sheet1!$B$8:$B$10</c:f>
              <c:numCache>
                <c:formatCode>General</c:formatCode>
                <c:ptCount val="3"/>
                <c:pt idx="0">
                  <c:v>2.5</c:v>
                </c:pt>
                <c:pt idx="1">
                  <c:v>2</c:v>
                </c:pt>
                <c:pt idx="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0-46AB-AEEC-3C6575BEE8AB}"/>
            </c:ext>
          </c:extLst>
        </c:ser>
        <c:ser>
          <c:idx val="1"/>
          <c:order val="1"/>
          <c:tx>
            <c:v>Alpha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Sheet1!$B$15:$B$17</c:f>
              <c:numCache>
                <c:formatCode>General</c:formatCode>
                <c:ptCount val="3"/>
                <c:pt idx="0">
                  <c:v>2.2000000000000002</c:v>
                </c:pt>
                <c:pt idx="1">
                  <c:v>2</c:v>
                </c:pt>
                <c:pt idx="2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F0-46AB-AEEC-3C6575BEE8AB}"/>
            </c:ext>
          </c:extLst>
        </c:ser>
        <c:ser>
          <c:idx val="2"/>
          <c:order val="2"/>
          <c:tx>
            <c:v>Alpha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Sheet1!$B$22:$B$24</c:f>
              <c:numCache>
                <c:formatCode>General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F0-46AB-AEEC-3C6575BEE8AB}"/>
            </c:ext>
          </c:extLst>
        </c:ser>
        <c:ser>
          <c:idx val="3"/>
          <c:order val="3"/>
          <c:tx>
            <c:v>Alpha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Sheet1!$B$29:$B$31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F0-46AB-AEEC-3C6575BEE8AB}"/>
            </c:ext>
          </c:extLst>
        </c:ser>
        <c:ser>
          <c:idx val="4"/>
          <c:order val="4"/>
          <c:tx>
            <c:v>Alpha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Sheet1!$B$36:$B$38</c:f>
              <c:numCache>
                <c:formatCode>General</c:formatCode>
                <c:ptCount val="3"/>
                <c:pt idx="0">
                  <c:v>3.3</c:v>
                </c:pt>
                <c:pt idx="1">
                  <c:v>2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F0-46AB-AEEC-3C6575BEE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814496"/>
        <c:axId val="1184819776"/>
      </c:lineChart>
      <c:catAx>
        <c:axId val="11848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9776"/>
        <c:crosses val="autoZero"/>
        <c:auto val="1"/>
        <c:lblAlgn val="ctr"/>
        <c:lblOffset val="100"/>
        <c:noMultiLvlLbl val="0"/>
      </c:catAx>
      <c:valAx>
        <c:axId val="11848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14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Resposta</a:t>
            </a:r>
            <a:r>
              <a:rPr lang="en-US" baseline="0"/>
              <a:t> de L/D com a variação de cada variável.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L/D (AR)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Sheet1!$E$8:$E$10</c:f>
              <c:numCache>
                <c:formatCode>General</c:formatCode>
                <c:ptCount val="3"/>
                <c:pt idx="0" formatCode="#,##0.0000">
                  <c:v>21.651949999999999</c:v>
                </c:pt>
                <c:pt idx="1">
                  <c:v>28.493179999999999</c:v>
                </c:pt>
                <c:pt idx="2">
                  <c:v>33.711309999999997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8-4AC9-AACB-4E28CB33E2B0}"/>
            </c:ext>
          </c:extLst>
        </c:ser>
        <c:ser>
          <c:idx val="1"/>
          <c:order val="1"/>
          <c:tx>
            <c:v>L/D (Span)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Sheet1!$E$15:$E$17</c:f>
              <c:numCache>
                <c:formatCode>General</c:formatCode>
                <c:ptCount val="3"/>
                <c:pt idx="0">
                  <c:v>23.960920000000002</c:v>
                </c:pt>
                <c:pt idx="1">
                  <c:v>27.63148</c:v>
                </c:pt>
                <c:pt idx="2">
                  <c:v>30.862939999999998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8-4AC9-AACB-4E28CB33E2B0}"/>
            </c:ext>
          </c:extLst>
        </c:ser>
        <c:ser>
          <c:idx val="2"/>
          <c:order val="2"/>
          <c:tx>
            <c:v>L/D (Taper)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Sheet1!$E$22:$E$24</c:f>
              <c:numCache>
                <c:formatCode>General</c:formatCode>
                <c:ptCount val="3"/>
                <c:pt idx="0">
                  <c:v>38.464739999999999</c:v>
                </c:pt>
                <c:pt idx="1">
                  <c:v>27.213640000000002</c:v>
                </c:pt>
                <c:pt idx="2">
                  <c:v>27.325620000000001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8-4AC9-AACB-4E28CB33E2B0}"/>
            </c:ext>
          </c:extLst>
        </c:ser>
        <c:ser>
          <c:idx val="3"/>
          <c:order val="3"/>
          <c:tx>
            <c:v>L/D (Sweep)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Sheet1!$E$29:$E$31</c:f>
              <c:numCache>
                <c:formatCode>General</c:formatCode>
                <c:ptCount val="3"/>
                <c:pt idx="0">
                  <c:v>27.633510000000001</c:v>
                </c:pt>
                <c:pt idx="1">
                  <c:v>30.199660000000002</c:v>
                </c:pt>
                <c:pt idx="2">
                  <c:v>34.411850000000001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78-4AC9-AACB-4E28CB33E2B0}"/>
            </c:ext>
          </c:extLst>
        </c:ser>
        <c:ser>
          <c:idx val="4"/>
          <c:order val="4"/>
          <c:tx>
            <c:v>L/D (Twist)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Sheet1!$E$36:$E$38</c:f>
              <c:numCache>
                <c:formatCode>General</c:formatCode>
                <c:ptCount val="3"/>
                <c:pt idx="0">
                  <c:v>26.286729999999999</c:v>
                </c:pt>
                <c:pt idx="1">
                  <c:v>27.63148</c:v>
                </c:pt>
                <c:pt idx="2">
                  <c:v>28.034300000000002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78-4AC9-AACB-4E28CB33E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767456"/>
        <c:axId val="1184793856"/>
      </c:lineChart>
      <c:catAx>
        <c:axId val="118476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93856"/>
        <c:crosses val="autoZero"/>
        <c:auto val="1"/>
        <c:lblAlgn val="ctr"/>
        <c:lblOffset val="100"/>
        <c:noMultiLvlLbl val="0"/>
      </c:catAx>
      <c:valAx>
        <c:axId val="1184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67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3</xdr:row>
      <xdr:rowOff>174306</xdr:rowOff>
    </xdr:from>
    <xdr:to>
      <xdr:col>21</xdr:col>
      <xdr:colOff>9526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6B22D-FC41-EAD1-DA12-B4EFAE83B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609599</xdr:colOff>
      <xdr:row>30</xdr:row>
      <xdr:rowOff>19999</xdr:rowOff>
    </xdr:from>
    <xdr:to>
      <xdr:col>21</xdr:col>
      <xdr:colOff>0</xdr:colOff>
      <xdr:row>48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6E3BB-B14C-6728-F7FB-74BB8B27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1CC2-36A2-41D2-A309-AA5C8755A6C3}">
  <dimension ref="A1:M65"/>
  <sheetViews>
    <sheetView tabSelected="1" topLeftCell="A22" workbookViewId="0">
      <selection activeCell="A53" sqref="A53:F65"/>
    </sheetView>
  </sheetViews>
  <sheetFormatPr defaultRowHeight="14.4" x14ac:dyDescent="0.3"/>
  <cols>
    <col min="1" max="2" width="8.88671875" style="1"/>
    <col min="3" max="3" width="12.109375" style="1" customWidth="1"/>
    <col min="4" max="4" width="8.88671875" style="1"/>
    <col min="5" max="5" width="13.77734375" style="1" bestFit="1" customWidth="1"/>
    <col min="6" max="16384" width="8.88671875" style="1"/>
  </cols>
  <sheetData>
    <row r="1" spans="1:13" x14ac:dyDescent="0.3">
      <c r="A1" s="5" t="s">
        <v>4</v>
      </c>
      <c r="B1" s="5"/>
      <c r="C1" s="5"/>
      <c r="D1" s="5"/>
      <c r="G1" s="5" t="s">
        <v>16</v>
      </c>
      <c r="H1" s="5"/>
      <c r="I1" s="5"/>
      <c r="J1" s="6" t="s">
        <v>15</v>
      </c>
      <c r="K1" s="7"/>
      <c r="L1" s="7"/>
      <c r="M1" s="7"/>
    </row>
    <row r="2" spans="1:13" x14ac:dyDescent="0.3">
      <c r="A2" s="2" t="s">
        <v>1</v>
      </c>
      <c r="B2" s="2" t="s">
        <v>2</v>
      </c>
      <c r="C2" s="2" t="s">
        <v>0</v>
      </c>
      <c r="D2" s="2" t="s">
        <v>3</v>
      </c>
      <c r="G2" s="2">
        <v>0.38</v>
      </c>
      <c r="H2" s="2">
        <f>(G2*5/100)+G2</f>
        <v>0.39900000000000002</v>
      </c>
      <c r="I2" s="2">
        <f>G2-(G2*5/100)</f>
        <v>0.36099999999999999</v>
      </c>
    </row>
    <row r="3" spans="1:13" x14ac:dyDescent="0.3">
      <c r="A3" s="2">
        <v>0.38590999999999998</v>
      </c>
      <c r="B3" s="2">
        <v>1.4160000000000001E-2</v>
      </c>
      <c r="C3" s="3">
        <v>27.382000000000001</v>
      </c>
      <c r="D3" s="2">
        <v>2</v>
      </c>
    </row>
    <row r="6" spans="1:13" x14ac:dyDescent="0.3">
      <c r="A6" s="5" t="s">
        <v>5</v>
      </c>
      <c r="B6" s="5"/>
      <c r="C6" s="5"/>
      <c r="D6" s="5"/>
      <c r="E6" s="5"/>
    </row>
    <row r="7" spans="1:13" x14ac:dyDescent="0.3">
      <c r="A7" s="2" t="s">
        <v>6</v>
      </c>
      <c r="B7" s="2" t="s">
        <v>3</v>
      </c>
      <c r="C7" s="2" t="s">
        <v>1</v>
      </c>
      <c r="D7" s="2" t="s">
        <v>2</v>
      </c>
      <c r="E7" s="2" t="s">
        <v>0</v>
      </c>
    </row>
    <row r="8" spans="1:13" x14ac:dyDescent="0.3">
      <c r="A8" s="2">
        <v>5</v>
      </c>
      <c r="B8" s="2">
        <v>2.5</v>
      </c>
      <c r="C8" s="2">
        <v>0.37763000000000002</v>
      </c>
      <c r="D8" s="2">
        <v>1.746E-2</v>
      </c>
      <c r="E8" s="4">
        <v>21.651949999999999</v>
      </c>
    </row>
    <row r="9" spans="1:13" x14ac:dyDescent="0.3">
      <c r="A9" s="2">
        <v>8</v>
      </c>
      <c r="B9" s="2">
        <v>2</v>
      </c>
      <c r="C9" s="2">
        <v>0.39240999999999998</v>
      </c>
      <c r="D9" s="2">
        <v>1.379E-2</v>
      </c>
      <c r="E9" s="2">
        <v>28.493179999999999</v>
      </c>
    </row>
    <row r="10" spans="1:13" x14ac:dyDescent="0.3">
      <c r="A10" s="2">
        <v>11</v>
      </c>
      <c r="B10" s="2">
        <v>1.5</v>
      </c>
      <c r="C10" s="2">
        <v>0.37352999999999997</v>
      </c>
      <c r="D10" s="2">
        <v>1.1089999999999999E-2</v>
      </c>
      <c r="E10" s="2">
        <v>33.711309999999997</v>
      </c>
    </row>
    <row r="13" spans="1:13" x14ac:dyDescent="0.3">
      <c r="A13" s="5" t="s">
        <v>8</v>
      </c>
      <c r="B13" s="5"/>
      <c r="C13" s="5"/>
      <c r="D13" s="5"/>
      <c r="E13" s="5"/>
    </row>
    <row r="14" spans="1:13" x14ac:dyDescent="0.3">
      <c r="A14" s="2" t="s">
        <v>7</v>
      </c>
      <c r="B14" s="2" t="s">
        <v>3</v>
      </c>
      <c r="C14" s="2" t="s">
        <v>1</v>
      </c>
      <c r="D14" s="2" t="s">
        <v>2</v>
      </c>
      <c r="E14" s="2" t="s">
        <v>0</v>
      </c>
    </row>
    <row r="15" spans="1:13" x14ac:dyDescent="0.3">
      <c r="A15" s="2">
        <v>32</v>
      </c>
      <c r="B15" s="2">
        <v>2.2000000000000002</v>
      </c>
      <c r="C15" s="2">
        <v>0.37590000000000001</v>
      </c>
      <c r="D15" s="2">
        <v>1.5709999999999998E-2</v>
      </c>
      <c r="E15" s="2">
        <v>23.960920000000002</v>
      </c>
    </row>
    <row r="16" spans="1:13" x14ac:dyDescent="0.3">
      <c r="A16" s="2">
        <v>36</v>
      </c>
      <c r="B16" s="2">
        <v>2</v>
      </c>
      <c r="C16" s="2">
        <v>0.38580999999999999</v>
      </c>
      <c r="D16" s="2">
        <v>1.3979999999999999E-2</v>
      </c>
      <c r="E16" s="2">
        <v>27.63148</v>
      </c>
    </row>
    <row r="17" spans="1:5" x14ac:dyDescent="0.3">
      <c r="A17" s="2">
        <v>40</v>
      </c>
      <c r="B17" s="2">
        <v>1.8</v>
      </c>
      <c r="C17" s="2">
        <v>0.38795000000000002</v>
      </c>
      <c r="D17" s="2">
        <v>1.2579999999999999E-2</v>
      </c>
      <c r="E17" s="2">
        <v>30.862939999999998</v>
      </c>
    </row>
    <row r="20" spans="1:5" x14ac:dyDescent="0.3">
      <c r="A20" s="5" t="s">
        <v>9</v>
      </c>
      <c r="B20" s="5"/>
      <c r="C20" s="5"/>
      <c r="D20" s="5"/>
      <c r="E20" s="5"/>
    </row>
    <row r="21" spans="1:5" x14ac:dyDescent="0.3">
      <c r="A21" s="2" t="s">
        <v>10</v>
      </c>
      <c r="B21" s="2" t="s">
        <v>3</v>
      </c>
      <c r="C21" s="2" t="s">
        <v>1</v>
      </c>
      <c r="D21" s="2" t="s">
        <v>2</v>
      </c>
      <c r="E21" s="2" t="s">
        <v>0</v>
      </c>
    </row>
    <row r="22" spans="1:5" x14ac:dyDescent="0.3">
      <c r="A22" s="2">
        <v>0.3</v>
      </c>
      <c r="B22" s="2">
        <v>1</v>
      </c>
      <c r="C22" s="2">
        <v>0.38746999999999998</v>
      </c>
      <c r="D22" s="2">
        <v>1.008E-2</v>
      </c>
      <c r="E22" s="2">
        <v>38.464739999999999</v>
      </c>
    </row>
    <row r="23" spans="1:5" x14ac:dyDescent="0.3">
      <c r="A23" s="2">
        <v>0.65</v>
      </c>
      <c r="B23" s="2">
        <v>1.5</v>
      </c>
      <c r="C23" s="2">
        <v>0.38327</v>
      </c>
      <c r="D23" s="2">
        <v>1.41E-2</v>
      </c>
      <c r="E23" s="2">
        <v>27.213640000000002</v>
      </c>
    </row>
    <row r="24" spans="1:5" x14ac:dyDescent="0.3">
      <c r="A24" s="2">
        <v>1</v>
      </c>
      <c r="B24" s="2">
        <v>2</v>
      </c>
      <c r="C24" s="2">
        <v>0.38728000000000001</v>
      </c>
      <c r="D24" s="2">
        <v>1.4189999999999999E-2</v>
      </c>
      <c r="E24" s="2">
        <v>27.325620000000001</v>
      </c>
    </row>
    <row r="27" spans="1:5" x14ac:dyDescent="0.3">
      <c r="A27" s="5" t="s">
        <v>11</v>
      </c>
      <c r="B27" s="5"/>
      <c r="C27" s="5"/>
      <c r="D27" s="5"/>
      <c r="E27" s="5"/>
    </row>
    <row r="28" spans="1:5" x14ac:dyDescent="0.3">
      <c r="A28" s="2" t="s">
        <v>12</v>
      </c>
      <c r="B28" s="2" t="s">
        <v>3</v>
      </c>
      <c r="C28" s="2" t="s">
        <v>1</v>
      </c>
      <c r="D28" s="2" t="s">
        <v>2</v>
      </c>
      <c r="E28" s="2" t="s">
        <v>0</v>
      </c>
    </row>
    <row r="29" spans="1:5" x14ac:dyDescent="0.3">
      <c r="A29" s="2">
        <v>0</v>
      </c>
      <c r="B29" s="2">
        <v>2</v>
      </c>
      <c r="C29" s="2">
        <v>0.38462000000000002</v>
      </c>
      <c r="D29" s="2">
        <v>1.3939999999999999E-2</v>
      </c>
      <c r="E29" s="2">
        <v>27.633510000000001</v>
      </c>
    </row>
    <row r="30" spans="1:5" x14ac:dyDescent="0.3">
      <c r="A30" s="2">
        <v>5</v>
      </c>
      <c r="B30" s="2">
        <v>2</v>
      </c>
      <c r="C30" s="2">
        <v>0.38383</v>
      </c>
      <c r="D30" s="2">
        <v>1.272E-2</v>
      </c>
      <c r="E30" s="2">
        <v>30.199660000000002</v>
      </c>
    </row>
    <row r="31" spans="1:5" x14ac:dyDescent="0.3">
      <c r="A31" s="2">
        <v>10</v>
      </c>
      <c r="B31" s="2">
        <v>2</v>
      </c>
      <c r="C31" s="2">
        <v>0.38325999999999999</v>
      </c>
      <c r="D31" s="2">
        <v>1.115E-2</v>
      </c>
      <c r="E31" s="2">
        <v>34.411850000000001</v>
      </c>
    </row>
    <row r="34" spans="1:5" x14ac:dyDescent="0.3">
      <c r="A34" s="5" t="s">
        <v>13</v>
      </c>
      <c r="B34" s="5"/>
      <c r="C34" s="5"/>
      <c r="D34" s="5"/>
      <c r="E34" s="5"/>
    </row>
    <row r="35" spans="1:5" x14ac:dyDescent="0.3">
      <c r="A35" s="2" t="s">
        <v>14</v>
      </c>
      <c r="B35" s="2" t="s">
        <v>3</v>
      </c>
      <c r="C35" s="2" t="s">
        <v>1</v>
      </c>
      <c r="D35" s="2" t="s">
        <v>2</v>
      </c>
      <c r="E35" s="2" t="s">
        <v>0</v>
      </c>
    </row>
    <row r="36" spans="1:5" x14ac:dyDescent="0.3">
      <c r="A36" s="2">
        <v>-3</v>
      </c>
      <c r="B36" s="2">
        <v>3.3</v>
      </c>
      <c r="C36" s="2">
        <v>0.38501000000000002</v>
      </c>
      <c r="D36" s="2">
        <v>1.4659999999999999E-2</v>
      </c>
      <c r="E36" s="2">
        <v>26.286729999999999</v>
      </c>
    </row>
    <row r="37" spans="1:5" x14ac:dyDescent="0.3">
      <c r="A37" s="2">
        <v>0</v>
      </c>
      <c r="B37" s="2">
        <v>2</v>
      </c>
      <c r="C37" s="2">
        <v>0.38580999999999999</v>
      </c>
      <c r="D37" s="2">
        <v>1.3979999999999999E-2</v>
      </c>
      <c r="E37" s="2">
        <v>27.63148</v>
      </c>
    </row>
    <row r="38" spans="1:5" x14ac:dyDescent="0.3">
      <c r="A38" s="2">
        <v>3</v>
      </c>
      <c r="B38" s="2">
        <v>0.5</v>
      </c>
      <c r="C38" s="2">
        <v>0.36893999999999999</v>
      </c>
      <c r="D38" s="2">
        <v>1.3180000000000001E-2</v>
      </c>
      <c r="E38" s="2">
        <v>28.034300000000002</v>
      </c>
    </row>
    <row r="41" spans="1:5" x14ac:dyDescent="0.3">
      <c r="A41"/>
      <c r="B41"/>
      <c r="C41"/>
      <c r="D41"/>
      <c r="E41"/>
    </row>
    <row r="52" spans="1:6" x14ac:dyDescent="0.3">
      <c r="A52" s="7" t="s">
        <v>17</v>
      </c>
      <c r="B52" s="7"/>
      <c r="C52" s="7"/>
      <c r="D52" s="7"/>
      <c r="E52" s="7"/>
      <c r="F52" s="7"/>
    </row>
    <row r="53" spans="1:6" x14ac:dyDescent="0.3">
      <c r="A53" s="7"/>
      <c r="B53" s="7"/>
      <c r="C53" s="7"/>
      <c r="D53" s="7"/>
      <c r="E53" s="7"/>
      <c r="F53" s="7"/>
    </row>
    <row r="54" spans="1:6" x14ac:dyDescent="0.3">
      <c r="A54" s="7"/>
      <c r="B54" s="7"/>
      <c r="C54" s="7"/>
      <c r="D54" s="7"/>
      <c r="E54" s="7"/>
      <c r="F54" s="7"/>
    </row>
    <row r="55" spans="1:6" x14ac:dyDescent="0.3">
      <c r="A55" s="7"/>
      <c r="B55" s="7"/>
      <c r="C55" s="7"/>
      <c r="D55" s="7"/>
      <c r="E55" s="7"/>
      <c r="F55" s="7"/>
    </row>
    <row r="56" spans="1:6" x14ac:dyDescent="0.3">
      <c r="A56" s="7"/>
      <c r="B56" s="7"/>
      <c r="C56" s="7"/>
      <c r="D56" s="7"/>
      <c r="E56" s="7"/>
      <c r="F56" s="7"/>
    </row>
    <row r="57" spans="1:6" x14ac:dyDescent="0.3">
      <c r="A57" s="7"/>
      <c r="B57" s="7"/>
      <c r="C57" s="7"/>
      <c r="D57" s="7"/>
      <c r="E57" s="7"/>
      <c r="F57" s="7"/>
    </row>
    <row r="58" spans="1:6" x14ac:dyDescent="0.3">
      <c r="A58" s="7"/>
      <c r="B58" s="7"/>
      <c r="C58" s="7"/>
      <c r="D58" s="7"/>
      <c r="E58" s="7"/>
      <c r="F58" s="7"/>
    </row>
    <row r="59" spans="1:6" x14ac:dyDescent="0.3">
      <c r="A59" s="7"/>
      <c r="B59" s="7"/>
      <c r="C59" s="7"/>
      <c r="D59" s="7"/>
      <c r="E59" s="7"/>
      <c r="F59" s="7"/>
    </row>
    <row r="60" spans="1:6" x14ac:dyDescent="0.3">
      <c r="A60" s="7"/>
      <c r="B60" s="7"/>
      <c r="C60" s="7"/>
      <c r="D60" s="7"/>
      <c r="E60" s="7"/>
      <c r="F60" s="7"/>
    </row>
    <row r="61" spans="1:6" x14ac:dyDescent="0.3">
      <c r="A61" s="7"/>
      <c r="B61" s="7"/>
      <c r="C61" s="7"/>
      <c r="D61" s="7"/>
      <c r="E61" s="7"/>
      <c r="F61" s="7"/>
    </row>
    <row r="62" spans="1:6" x14ac:dyDescent="0.3">
      <c r="A62" s="7"/>
      <c r="B62" s="7"/>
      <c r="C62" s="7"/>
      <c r="D62" s="7"/>
      <c r="E62" s="7"/>
      <c r="F62" s="7"/>
    </row>
    <row r="63" spans="1:6" x14ac:dyDescent="0.3">
      <c r="A63" s="7"/>
      <c r="B63" s="7"/>
      <c r="C63" s="7"/>
      <c r="D63" s="7"/>
      <c r="E63" s="7"/>
      <c r="F63" s="7"/>
    </row>
    <row r="64" spans="1:6" x14ac:dyDescent="0.3">
      <c r="A64" s="7"/>
      <c r="B64" s="7"/>
      <c r="C64" s="7"/>
      <c r="D64" s="7"/>
      <c r="E64" s="7"/>
      <c r="F64" s="7"/>
    </row>
    <row r="65" spans="1:6" x14ac:dyDescent="0.3">
      <c r="A65" s="7"/>
      <c r="B65" s="7"/>
      <c r="C65" s="7"/>
      <c r="D65" s="7"/>
      <c r="E65" s="7"/>
      <c r="F65" s="7"/>
    </row>
  </sheetData>
  <mergeCells count="10">
    <mergeCell ref="A52:F52"/>
    <mergeCell ref="A53:F65"/>
    <mergeCell ref="A34:E34"/>
    <mergeCell ref="G1:I1"/>
    <mergeCell ref="J1:M1"/>
    <mergeCell ref="A1:D1"/>
    <mergeCell ref="A6:E6"/>
    <mergeCell ref="A13:E13"/>
    <mergeCell ref="A20:E20"/>
    <mergeCell ref="A27:E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Gärtner da Maia</dc:creator>
  <cp:lastModifiedBy>Ana Carolina Gärtner da Maia</cp:lastModifiedBy>
  <dcterms:created xsi:type="dcterms:W3CDTF">2025-11-10T17:13:41Z</dcterms:created>
  <dcterms:modified xsi:type="dcterms:W3CDTF">2025-11-11T00:17:33Z</dcterms:modified>
</cp:coreProperties>
</file>